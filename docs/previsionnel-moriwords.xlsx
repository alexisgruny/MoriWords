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Previsionnel 24 mois" sheetId="2" state="visible" r:id="rId2"/>
    <sheet name="Optimis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 €;(#,##0.00 €);-"/>
    <numFmt numFmtId="165" formatCode="0.0%;(0.0%);-"/>
    <numFmt numFmtId="166" formatCode="#,##0;(#,##0);-"/>
    <numFmt numFmtId="167" formatCode="$#,##0.00"/>
    <numFmt numFmtId="168" formatCode="0.0000 €"/>
    <numFmt numFmtId="169" formatCode="#,##0 €;(#,##0 €);-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</font>
    <font>
      <name val="Arial"/>
      <color rgb="000000FF"/>
    </font>
    <font>
      <name val="Arial"/>
      <i val="1"/>
      <color rgb="00595959"/>
    </font>
    <font>
      <name val="Arial"/>
      <b val="1"/>
      <color rgb="00FFFFFF"/>
    </font>
    <font>
      <name val="Arial"/>
      <color rgb="00008000"/>
    </font>
    <font>
      <name val="Arial"/>
      <color rgb="00A6A6A6"/>
    </font>
    <font>
      <name val="Arial"/>
      <i val="1"/>
      <color rgb="00A6A6A6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0" fontId="6" fillId="0" borderId="0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2" fontId="5" fillId="3" borderId="1" pivotButton="0" quotePrefix="0" xfId="0"/>
    <xf numFmtId="0" fontId="3" fillId="0" borderId="0" pivotButton="0" quotePrefix="0" xfId="0"/>
    <xf numFmtId="164" fontId="4" fillId="0" borderId="1" pivotButton="0" quotePrefix="0" xfId="0"/>
    <xf numFmtId="0" fontId="7" fillId="4" borderId="0" applyAlignment="1" pivotButton="0" quotePrefix="0" xfId="0">
      <alignment wrapText="1"/>
    </xf>
    <xf numFmtId="0" fontId="4" fillId="0" borderId="1" pivotButton="0" quotePrefix="0" xfId="0"/>
    <xf numFmtId="168" fontId="0" fillId="0" borderId="1" pivotButton="0" quotePrefix="0" xfId="0"/>
    <xf numFmtId="0" fontId="5" fillId="3" borderId="1" pivotButton="0" quotePrefix="0" xfId="0"/>
    <xf numFmtId="166" fontId="4" fillId="0" borderId="1" pivotButton="0" quotePrefix="0" xfId="0"/>
    <xf numFmtId="0" fontId="7" fillId="4" borderId="0" applyAlignment="1" pivotButton="0" quotePrefix="0" xfId="0">
      <alignment horizontal="center" vertical="center" wrapText="1"/>
    </xf>
    <xf numFmtId="0" fontId="10" fillId="0" borderId="0" pivotButton="0" quotePrefix="0" xfId="0"/>
    <xf numFmtId="164" fontId="3" fillId="0" borderId="1" pivotButton="0" quotePrefix="0" xfId="0"/>
    <xf numFmtId="166" fontId="8" fillId="0" borderId="1" pivotButton="0" quotePrefix="0" xfId="0"/>
    <xf numFmtId="164" fontId="8" fillId="0" borderId="1" pivotButton="0" quotePrefix="0" xfId="0"/>
    <xf numFmtId="0" fontId="9" fillId="0" borderId="0" pivotButton="0" quotePrefix="0" xfId="0"/>
    <xf numFmtId="166" fontId="3" fillId="0" borderId="0" pivotButton="0" quotePrefix="0" xfId="0"/>
    <xf numFmtId="169" fontId="3" fillId="0" borderId="1" pivotButton="0" quotePrefix="0" xfId="0"/>
    <xf numFmtId="165" fontId="3" fillId="0" borderId="0" pivotButton="0" quotePrefix="0" xfId="0"/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A29" authorId="0" shapeId="0">
      <text>
        <t>Tokens estimés à partir des prompts de src/lib/translation/translate.ts, src/lib/decks/card-examples.ts, src/lib/grammar/exercises.ts et src/lib/feeds/*. À remplacer par les vrais chiffres dès que response.usage sera journalisé.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62" customWidth="1" min="3" max="3"/>
    <col width="16" customWidth="1" min="4" max="4"/>
    <col width="11" customWidth="1" min="5" max="5"/>
    <col width="16" customWidth="1" min="6" max="6"/>
    <col width="18" customWidth="1" min="7" max="7"/>
  </cols>
  <sheetData>
    <row r="1">
      <c r="A1" s="1" t="inlineStr">
        <is>
          <t>MoriWords — Hypothèses du prévisionnel</t>
        </is>
      </c>
    </row>
    <row r="2">
      <c r="A2" s="2" t="inlineStr">
        <is>
          <t>Légende : texte BLEU sur fond jaune = cellule à modifier. Tout le reste se recalcule tout seul.</t>
        </is>
      </c>
    </row>
    <row r="4">
      <c r="A4" s="3" t="inlineStr">
        <is>
          <t>Prix &amp; paiement</t>
        </is>
      </c>
      <c r="B4" s="4" t="n"/>
      <c r="C4" s="4" t="n"/>
    </row>
    <row r="5">
      <c r="A5" s="5" t="inlineStr">
        <is>
          <t>Prix de l'abonnement mensuel (TTC = HT si franchise TVA)</t>
        </is>
      </c>
      <c r="B5" s="6" t="n">
        <v>4.99</v>
      </c>
      <c r="C5" s="7" t="inlineStr">
        <is>
          <t>Recommandation : 4,99 €/mois</t>
        </is>
      </c>
    </row>
    <row r="6">
      <c r="A6" s="5" t="inlineStr">
        <is>
          <t>Stripe — commission en %</t>
        </is>
      </c>
      <c r="B6" s="8" t="n">
        <v>0.015</v>
      </c>
      <c r="C6" s="7" t="inlineStr">
        <is>
          <t>Tarif Stripe cartes UE standard (vérifier sur stripe.com/fr/pricing)</t>
        </is>
      </c>
    </row>
    <row r="7">
      <c r="A7" s="5" t="inlineStr">
        <is>
          <t>Stripe — frais fixe par paiement</t>
        </is>
      </c>
      <c r="B7" s="6" t="n">
        <v>0.25</v>
      </c>
      <c r="C7" s="7" t="inlineStr">
        <is>
          <t>Tarif Stripe cartes UE standard</t>
        </is>
      </c>
    </row>
    <row r="8">
      <c r="A8" s="5" t="inlineStr">
        <is>
          <t>Cotisations sociales micro-entreprise (% du CA)</t>
        </is>
      </c>
      <c r="B8" s="8" t="n">
        <v>0.23</v>
      </c>
      <c r="C8" s="7" t="inlineStr">
        <is>
          <t>Hypothèse ~22-25 % selon BIC/BNC ; à vérifier sur autoentrepreneur.urssaf.fr (ACRE = moitié la 1re année)</t>
        </is>
      </c>
    </row>
    <row r="9">
      <c r="A9" s="3" t="inlineStr">
        <is>
          <t>Croissance</t>
        </is>
      </c>
      <c r="B9" s="4" t="n"/>
      <c r="C9" s="4" t="n"/>
    </row>
    <row r="10">
      <c r="A10" s="5" t="inlineStr">
        <is>
          <t>Nouveaux inscrits le 1er mois</t>
        </is>
      </c>
      <c r="B10" s="9" t="n">
        <v>50</v>
      </c>
      <c r="C10" s="7" t="inlineStr">
        <is>
          <t>Hypothèse : lancement discret (réseaux, Reddit, Discord japonais)</t>
        </is>
      </c>
    </row>
    <row r="11">
      <c r="A11" s="5" t="inlineStr">
        <is>
          <t>Croissance mensuelle des nouveaux inscrits</t>
        </is>
      </c>
      <c r="B11" s="8" t="n">
        <v>0.15</v>
      </c>
      <c r="C11" s="7" t="inlineStr">
        <is>
          <t>Hypothèse</t>
        </is>
      </c>
    </row>
    <row r="12">
      <c r="A12" s="5" t="inlineStr">
        <is>
          <t>Taux de conversion inscrit → payant</t>
        </is>
      </c>
      <c r="B12" s="8" t="n">
        <v>0.05</v>
      </c>
      <c r="C12" s="7" t="inlineStr">
        <is>
          <t>Hypothèse : 2-5 % est courant pour un freemium</t>
        </is>
      </c>
    </row>
    <row r="13">
      <c r="A13" s="5" t="inlineStr">
        <is>
          <t>Désabonnement mensuel (churn) des payants</t>
        </is>
      </c>
      <c r="B13" s="8" t="n">
        <v>0.08</v>
      </c>
      <c r="C13" s="7" t="inlineStr">
        <is>
          <t>Hypothèse</t>
        </is>
      </c>
    </row>
    <row r="14">
      <c r="A14" s="5" t="inlineStr">
        <is>
          <t>Part des gratuits encore actifs chaque mois</t>
        </is>
      </c>
      <c r="B14" s="8" t="n">
        <v>0.3</v>
      </c>
      <c r="C14" s="7" t="inlineStr">
        <is>
          <t>Hypothèse : beaucoup d'inscrits testent puis décrochent</t>
        </is>
      </c>
    </row>
    <row r="15">
      <c r="A15" s="3" t="inlineStr">
        <is>
          <t>Claude (modèle Haiku 4.5)</t>
        </is>
      </c>
      <c r="B15" s="4" t="n"/>
      <c r="C15" s="4" t="n"/>
    </row>
    <row r="16">
      <c r="A16" s="5" t="inlineStr">
        <is>
          <t>Prix entrée ($ / million de tokens)</t>
        </is>
      </c>
      <c r="B16" s="10" t="n">
        <v>1</v>
      </c>
      <c r="C16" s="7" t="inlineStr">
        <is>
          <t>Tarif Anthropic Haiku 4.5</t>
        </is>
      </c>
    </row>
    <row r="17">
      <c r="A17" s="5" t="inlineStr">
        <is>
          <t>Prix sortie ($ / million de tokens)</t>
        </is>
      </c>
      <c r="B17" s="10" t="n">
        <v>5</v>
      </c>
      <c r="C17" s="7" t="inlineStr">
        <is>
          <t>Tarif Anthropic Haiku 4.5</t>
        </is>
      </c>
    </row>
    <row r="18">
      <c r="A18" s="5" t="inlineStr">
        <is>
          <t>Taux de change (1 $ = x €)</t>
        </is>
      </c>
      <c r="B18" s="11" t="n">
        <v>0.9</v>
      </c>
      <c r="C18" s="7" t="inlineStr">
        <is>
          <t>À ajuster au cours du jour</t>
        </is>
      </c>
    </row>
    <row r="19">
      <c r="A19" s="5" t="inlineStr">
        <is>
          <t>Économie grâce aux caches partagés (sur actions « en cache »)</t>
        </is>
      </c>
      <c r="B19" s="8" t="n">
        <v>0.3</v>
      </c>
      <c r="C19" s="7" t="inlineStr">
        <is>
          <t>Hypothèse : grandit avec le nombre d'utilisateurs (un mot traduit une fois sert à tous)</t>
        </is>
      </c>
    </row>
    <row r="20">
      <c r="A20" s="3" t="inlineStr">
        <is>
          <t>Frais fixes mensuels</t>
        </is>
      </c>
      <c r="B20" s="4" t="n"/>
      <c r="C20" s="4" t="n"/>
    </row>
    <row r="21">
      <c r="A21" s="5" t="inlineStr">
        <is>
          <t>Vercel Pro</t>
        </is>
      </c>
      <c r="B21" s="6" t="n">
        <v>18</v>
      </c>
      <c r="C21" s="7" t="inlineStr">
        <is>
          <t>20 $/mois — le plan Hobby gratuit interdit l'usage commercial</t>
        </is>
      </c>
    </row>
    <row r="22">
      <c r="A22" s="5" t="inlineStr">
        <is>
          <t>Base PostgreSQL (Neon / Supabase)</t>
        </is>
      </c>
      <c r="B22" s="6" t="n">
        <v>18</v>
      </c>
      <c r="C22" s="7" t="inlineStr">
        <is>
          <t>~19-25 $/mois pour un plan payant</t>
        </is>
      </c>
    </row>
    <row r="23">
      <c r="A23" s="5" t="inlineStr">
        <is>
          <t>Nom de domaine</t>
        </is>
      </c>
      <c r="B23" s="6" t="n">
        <v>1.5</v>
      </c>
      <c r="C23" s="7" t="inlineStr">
        <is>
          <t>~15-20 €/an</t>
        </is>
      </c>
    </row>
    <row r="24">
      <c r="A24" s="5" t="inlineStr">
        <is>
          <t>Divers (emails transactionnels, compta, outils)</t>
        </is>
      </c>
      <c r="B24" s="6" t="n">
        <v>5</v>
      </c>
      <c r="C24" s="7" t="inlineStr">
        <is>
          <t>Hypothèse</t>
        </is>
      </c>
    </row>
    <row r="25">
      <c r="A25" s="12" t="inlineStr">
        <is>
          <t>Total frais fixes / mois</t>
        </is>
      </c>
      <c r="B25" s="13">
        <f>SUM($B$21,$B$22,$B$23,$B$24)</f>
        <v/>
      </c>
      <c r="C25" s="7" t="inlineStr"/>
    </row>
    <row r="27">
      <c r="A27" s="3" t="inlineStr">
        <is>
          <t>Coût par action Claude (estimé depuis les prompts du code)</t>
        </is>
      </c>
      <c r="B27" s="4" t="n"/>
      <c r="C27" s="4" t="n"/>
    </row>
    <row r="28">
      <c r="A28" s="14" t="inlineStr">
        <is>
          <t>Action</t>
        </is>
      </c>
      <c r="B28" s="14" t="inlineStr">
        <is>
          <t>Tokens entrée</t>
        </is>
      </c>
      <c r="C28" s="14" t="inlineStr">
        <is>
          <t>Tokens sortie</t>
        </is>
      </c>
      <c r="D28" s="14" t="inlineStr">
        <is>
          <t>Coût / appel (€)</t>
        </is>
      </c>
      <c r="E28" s="14" t="inlineStr">
        <is>
          <t>En cache ?</t>
        </is>
      </c>
      <c r="F28" s="14" t="inlineStr">
        <is>
          <t>Appels / mois — payant</t>
        </is>
      </c>
      <c r="G28" s="14" t="inlineStr">
        <is>
          <t>Appels / mois — gratuit (quota)</t>
        </is>
      </c>
    </row>
    <row r="29">
      <c r="A29" s="15" t="inlineStr">
        <is>
          <t>Traduction mot / phrase</t>
        </is>
      </c>
      <c r="B29" s="9" t="n">
        <v>150</v>
      </c>
      <c r="C29" s="9" t="n">
        <v>120</v>
      </c>
      <c r="D29" s="16">
        <f>(B29*$B$16+C29*$B$17)/1000000*$B$18</f>
        <v/>
      </c>
      <c r="E29" s="17" t="inlineStr">
        <is>
          <t>oui</t>
        </is>
      </c>
      <c r="F29" s="9" t="n">
        <v>300</v>
      </c>
      <c r="G29" s="9" t="n">
        <v>20</v>
      </c>
    </row>
    <row r="30">
      <c r="A30" s="15" t="inlineStr">
        <is>
          <t>5 exemples pour une carte</t>
        </is>
      </c>
      <c r="B30" s="9" t="n">
        <v>300</v>
      </c>
      <c r="C30" s="9" t="n">
        <v>600</v>
      </c>
      <c r="D30" s="16">
        <f>(B30*$B$16+C30*$B$17)/1000000*$B$18</f>
        <v/>
      </c>
      <c r="E30" s="17" t="inlineStr">
        <is>
          <t>oui</t>
        </is>
      </c>
      <c r="F30" s="9" t="n">
        <v>100</v>
      </c>
      <c r="G30" s="9" t="n">
        <v>5</v>
      </c>
    </row>
    <row r="31">
      <c r="A31" s="15" t="inlineStr">
        <is>
          <t>Correction d'exercice</t>
        </is>
      </c>
      <c r="B31" s="9" t="n">
        <v>450</v>
      </c>
      <c r="C31" s="9" t="n">
        <v>400</v>
      </c>
      <c r="D31" s="16">
        <f>(B31*$B$16+C31*$B$17)/1000000*$B$18</f>
        <v/>
      </c>
      <c r="E31" s="17" t="inlineStr">
        <is>
          <t>non</t>
        </is>
      </c>
      <c r="F31" s="9" t="n">
        <v>100</v>
      </c>
      <c r="G31" s="9" t="n">
        <v>5</v>
      </c>
    </row>
    <row r="32">
      <c r="A32" s="15" t="inlineStr">
        <is>
          <t>Texte généré (citation, dialogue, news…)</t>
        </is>
      </c>
      <c r="B32" s="9" t="n">
        <v>450</v>
      </c>
      <c r="C32" s="9" t="n">
        <v>300</v>
      </c>
      <c r="D32" s="16">
        <f>(B32*$B$16+C32*$B$17)/1000000*$B$18</f>
        <v/>
      </c>
      <c r="E32" s="17" t="inlineStr">
        <is>
          <t>non</t>
        </is>
      </c>
      <c r="F32" s="9" t="n">
        <v>30</v>
      </c>
      <c r="G32" s="9" t="n">
        <v>3</v>
      </c>
    </row>
    <row r="33">
      <c r="A33" s="15" t="inlineStr">
        <is>
          <t>Exercices de grammaire (10 par point)</t>
        </is>
      </c>
      <c r="B33" s="9" t="n">
        <v>300</v>
      </c>
      <c r="C33" s="9" t="n">
        <v>1000</v>
      </c>
      <c r="D33" s="16">
        <f>(B33*$B$16+C33*$B$17)/1000000*$B$18</f>
        <v/>
      </c>
      <c r="E33" s="17" t="inlineStr">
        <is>
          <t>oui</t>
        </is>
      </c>
      <c r="F33" s="9" t="n">
        <v>2</v>
      </c>
      <c r="G33" s="9" t="n">
        <v>0</v>
      </c>
    </row>
    <row r="35">
      <c r="A35" s="12" t="inlineStr">
        <is>
          <t>Coût Claude par abonné payant / mois</t>
        </is>
      </c>
      <c r="B35" s="13">
        <f>SUMPRODUCT(D29:D33,F29:F33,1-(E29:E33="oui")*$B$19)</f>
        <v/>
      </c>
      <c r="C35" s="7" t="inlineStr">
        <is>
          <t>Profil « régulier », après économie de cache</t>
        </is>
      </c>
    </row>
    <row r="36">
      <c r="A36" s="12" t="inlineStr">
        <is>
          <t>Coût Claude par gratuit actif / mois</t>
        </is>
      </c>
      <c r="B36" s="13">
        <f>SUMPRODUCT(D29:D33,G29:G33,1-(E29:E33="oui")*$B$19)</f>
        <v/>
      </c>
      <c r="C36" s="7" t="inlineStr">
        <is>
          <t>Avec quota sur l'offre gratuite</t>
        </is>
      </c>
    </row>
    <row r="37">
      <c r="A37" s="3" t="inlineStr">
        <is>
          <t>Rentabilité par abonné</t>
        </is>
      </c>
      <c r="B37" s="4" t="n"/>
      <c r="C37" s="4" t="n"/>
    </row>
    <row r="38">
      <c r="A38" s="12" t="inlineStr">
        <is>
          <t>Reste après Stripe + URSSAF</t>
        </is>
      </c>
      <c r="B38" s="13">
        <f>$B$5-($B$5*$B$6+$B$7)-$B$5*$B$8</f>
        <v/>
      </c>
      <c r="C38" s="7" t="inlineStr"/>
    </row>
    <row r="39">
      <c r="A39" s="12" t="inlineStr">
        <is>
          <t>Marge par abonné (après Claude)</t>
        </is>
      </c>
      <c r="B39" s="13">
        <f>$B$38-$B$35</f>
        <v/>
      </c>
      <c r="C39" s="7" t="inlineStr"/>
    </row>
    <row r="40">
      <c r="A40" s="12" t="inlineStr">
        <is>
          <t>Seuil de rentabilité (abonnés payants)</t>
        </is>
      </c>
      <c r="B40" s="18">
        <f>IF($B$39&gt;0,ROUNDUP($B$25/$B$39,0),"jamais")</f>
        <v/>
      </c>
      <c r="C40" s="7" t="inlineStr">
        <is>
          <t>Sans compter le coût des gratuits (voir onglet Prévisionnel)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MoriWords — Prévisionnel sur 24 mois</t>
        </is>
      </c>
    </row>
    <row r="2">
      <c r="A2" s="2" t="inlineStr">
        <is>
          <t>Tout est calculé à partir de l'onglet Hypotheses (liens en vert). Ne rien saisir ici.</t>
        </is>
      </c>
    </row>
    <row r="4" ht="32" customHeight="1">
      <c r="A4" s="19" t="inlineStr">
        <is>
          <t>Mois</t>
        </is>
      </c>
      <c r="B4" s="19" t="inlineStr">
        <is>
          <t>Nouveaux inscrits</t>
        </is>
      </c>
      <c r="C4" s="19" t="inlineStr">
        <is>
          <t>Inscrits cumulés</t>
        </is>
      </c>
      <c r="D4" s="19" t="inlineStr">
        <is>
          <t>Abonnés payants</t>
        </is>
      </c>
      <c r="E4" s="19" t="inlineStr">
        <is>
          <t>Gratuits actifs</t>
        </is>
      </c>
      <c r="F4" s="19" t="inlineStr">
        <is>
          <t>Chiffre d'affaires</t>
        </is>
      </c>
      <c r="G4" s="19" t="inlineStr">
        <is>
          <t>Frais Stripe</t>
        </is>
      </c>
      <c r="H4" s="19" t="inlineStr">
        <is>
          <t>Cotisations URSSAF</t>
        </is>
      </c>
      <c r="I4" s="19" t="inlineStr">
        <is>
          <t>Coût Claude — payants</t>
        </is>
      </c>
      <c r="J4" s="19" t="inlineStr">
        <is>
          <t>Coût Claude — gratuits</t>
        </is>
      </c>
      <c r="K4" s="19" t="inlineStr">
        <is>
          <t>Frais fixes</t>
        </is>
      </c>
      <c r="L4" s="19" t="inlineStr">
        <is>
          <t>Résultat du mois</t>
        </is>
      </c>
      <c r="M4" s="19" t="inlineStr">
        <is>
          <t>Résultat cumulé</t>
        </is>
      </c>
      <c r="N4" s="20" t="inlineStr">
        <is>
          <t>(aide) mois rentable</t>
        </is>
      </c>
      <c r="O4" s="20" t="inlineStr">
        <is>
          <t>(aide) cumul positif</t>
        </is>
      </c>
    </row>
    <row r="5">
      <c r="A5" s="21" t="inlineStr">
        <is>
          <t>M1</t>
        </is>
      </c>
      <c r="B5" s="22">
        <f>Hypotheses!$B$10</f>
        <v/>
      </c>
      <c r="C5" s="18">
        <f>B5</f>
        <v/>
      </c>
      <c r="D5" s="18">
        <f>B5*Hypotheses!$B$12</f>
        <v/>
      </c>
      <c r="E5" s="18">
        <f>MAX(0,(C5-D5)*Hypotheses!$B$14)</f>
        <v/>
      </c>
      <c r="F5" s="13">
        <f>D5*Hypotheses!$B$5</f>
        <v/>
      </c>
      <c r="G5" s="13">
        <f>D5*(Hypotheses!$B$5*Hypotheses!$B$6+Hypotheses!$B$7)</f>
        <v/>
      </c>
      <c r="H5" s="13">
        <f>F5*Hypotheses!$B$8</f>
        <v/>
      </c>
      <c r="I5" s="13">
        <f>D5*Hypotheses!$B$35</f>
        <v/>
      </c>
      <c r="J5" s="13">
        <f>E5*Hypotheses!$B$36</f>
        <v/>
      </c>
      <c r="K5" s="23">
        <f>Hypotheses!$B$25</f>
        <v/>
      </c>
      <c r="L5" s="13">
        <f>F5-G5-H5-I5-J5-K5</f>
        <v/>
      </c>
      <c r="M5" s="13">
        <f>L5</f>
        <v/>
      </c>
      <c r="N5" s="24">
        <f>IF(L5&gt;0,1,99)</f>
        <v/>
      </c>
      <c r="O5" s="24">
        <f>IF(M5&gt;0,1,99)</f>
        <v/>
      </c>
    </row>
    <row r="6">
      <c r="A6" s="21" t="inlineStr">
        <is>
          <t>M2</t>
        </is>
      </c>
      <c r="B6" s="18">
        <f>B5*(1+Hypotheses!$B$11)</f>
        <v/>
      </c>
      <c r="C6" s="18">
        <f>C5+B6</f>
        <v/>
      </c>
      <c r="D6" s="18">
        <f>D5*(1-Hypotheses!$B$13)+B6*Hypotheses!$B$12</f>
        <v/>
      </c>
      <c r="E6" s="18">
        <f>MAX(0,(C6-D6)*Hypotheses!$B$14)</f>
        <v/>
      </c>
      <c r="F6" s="13">
        <f>D6*Hypotheses!$B$5</f>
        <v/>
      </c>
      <c r="G6" s="13">
        <f>D6*(Hypotheses!$B$5*Hypotheses!$B$6+Hypotheses!$B$7)</f>
        <v/>
      </c>
      <c r="H6" s="13">
        <f>F6*Hypotheses!$B$8</f>
        <v/>
      </c>
      <c r="I6" s="13">
        <f>D6*Hypotheses!$B$35</f>
        <v/>
      </c>
      <c r="J6" s="13">
        <f>E6*Hypotheses!$B$36</f>
        <v/>
      </c>
      <c r="K6" s="23">
        <f>Hypotheses!$B$25</f>
        <v/>
      </c>
      <c r="L6" s="13">
        <f>F6-G6-H6-I6-J6-K6</f>
        <v/>
      </c>
      <c r="M6" s="13">
        <f>M5+L6</f>
        <v/>
      </c>
      <c r="N6" s="24">
        <f>IF(L6&gt;0,2,99)</f>
        <v/>
      </c>
      <c r="O6" s="24">
        <f>IF(M6&gt;0,2,99)</f>
        <v/>
      </c>
    </row>
    <row r="7">
      <c r="A7" s="21" t="inlineStr">
        <is>
          <t>M3</t>
        </is>
      </c>
      <c r="B7" s="18">
        <f>B6*(1+Hypotheses!$B$11)</f>
        <v/>
      </c>
      <c r="C7" s="18">
        <f>C6+B7</f>
        <v/>
      </c>
      <c r="D7" s="18">
        <f>D6*(1-Hypotheses!$B$13)+B7*Hypotheses!$B$12</f>
        <v/>
      </c>
      <c r="E7" s="18">
        <f>MAX(0,(C7-D7)*Hypotheses!$B$14)</f>
        <v/>
      </c>
      <c r="F7" s="13">
        <f>D7*Hypotheses!$B$5</f>
        <v/>
      </c>
      <c r="G7" s="13">
        <f>D7*(Hypotheses!$B$5*Hypotheses!$B$6+Hypotheses!$B$7)</f>
        <v/>
      </c>
      <c r="H7" s="13">
        <f>F7*Hypotheses!$B$8</f>
        <v/>
      </c>
      <c r="I7" s="13">
        <f>D7*Hypotheses!$B$35</f>
        <v/>
      </c>
      <c r="J7" s="13">
        <f>E7*Hypotheses!$B$36</f>
        <v/>
      </c>
      <c r="K7" s="23">
        <f>Hypotheses!$B$25</f>
        <v/>
      </c>
      <c r="L7" s="13">
        <f>F7-G7-H7-I7-J7-K7</f>
        <v/>
      </c>
      <c r="M7" s="13">
        <f>M6+L7</f>
        <v/>
      </c>
      <c r="N7" s="24">
        <f>IF(L7&gt;0,3,99)</f>
        <v/>
      </c>
      <c r="O7" s="24">
        <f>IF(M7&gt;0,3,99)</f>
        <v/>
      </c>
    </row>
    <row r="8">
      <c r="A8" s="21" t="inlineStr">
        <is>
          <t>M4</t>
        </is>
      </c>
      <c r="B8" s="18">
        <f>B7*(1+Hypotheses!$B$11)</f>
        <v/>
      </c>
      <c r="C8" s="18">
        <f>C7+B8</f>
        <v/>
      </c>
      <c r="D8" s="18">
        <f>D7*(1-Hypotheses!$B$13)+B8*Hypotheses!$B$12</f>
        <v/>
      </c>
      <c r="E8" s="18">
        <f>MAX(0,(C8-D8)*Hypotheses!$B$14)</f>
        <v/>
      </c>
      <c r="F8" s="13">
        <f>D8*Hypotheses!$B$5</f>
        <v/>
      </c>
      <c r="G8" s="13">
        <f>D8*(Hypotheses!$B$5*Hypotheses!$B$6+Hypotheses!$B$7)</f>
        <v/>
      </c>
      <c r="H8" s="13">
        <f>F8*Hypotheses!$B$8</f>
        <v/>
      </c>
      <c r="I8" s="13">
        <f>D8*Hypotheses!$B$35</f>
        <v/>
      </c>
      <c r="J8" s="13">
        <f>E8*Hypotheses!$B$36</f>
        <v/>
      </c>
      <c r="K8" s="23">
        <f>Hypotheses!$B$25</f>
        <v/>
      </c>
      <c r="L8" s="13">
        <f>F8-G8-H8-I8-J8-K8</f>
        <v/>
      </c>
      <c r="M8" s="13">
        <f>M7+L8</f>
        <v/>
      </c>
      <c r="N8" s="24">
        <f>IF(L8&gt;0,4,99)</f>
        <v/>
      </c>
      <c r="O8" s="24">
        <f>IF(M8&gt;0,4,99)</f>
        <v/>
      </c>
    </row>
    <row r="9">
      <c r="A9" s="21" t="inlineStr">
        <is>
          <t>M5</t>
        </is>
      </c>
      <c r="B9" s="18">
        <f>B8*(1+Hypotheses!$B$11)</f>
        <v/>
      </c>
      <c r="C9" s="18">
        <f>C8+B9</f>
        <v/>
      </c>
      <c r="D9" s="18">
        <f>D8*(1-Hypotheses!$B$13)+B9*Hypotheses!$B$12</f>
        <v/>
      </c>
      <c r="E9" s="18">
        <f>MAX(0,(C9-D9)*Hypotheses!$B$14)</f>
        <v/>
      </c>
      <c r="F9" s="13">
        <f>D9*Hypotheses!$B$5</f>
        <v/>
      </c>
      <c r="G9" s="13">
        <f>D9*(Hypotheses!$B$5*Hypotheses!$B$6+Hypotheses!$B$7)</f>
        <v/>
      </c>
      <c r="H9" s="13">
        <f>F9*Hypotheses!$B$8</f>
        <v/>
      </c>
      <c r="I9" s="13">
        <f>D9*Hypotheses!$B$35</f>
        <v/>
      </c>
      <c r="J9" s="13">
        <f>E9*Hypotheses!$B$36</f>
        <v/>
      </c>
      <c r="K9" s="23">
        <f>Hypotheses!$B$25</f>
        <v/>
      </c>
      <c r="L9" s="13">
        <f>F9-G9-H9-I9-J9-K9</f>
        <v/>
      </c>
      <c r="M9" s="13">
        <f>M8+L9</f>
        <v/>
      </c>
      <c r="N9" s="24">
        <f>IF(L9&gt;0,5,99)</f>
        <v/>
      </c>
      <c r="O9" s="24">
        <f>IF(M9&gt;0,5,99)</f>
        <v/>
      </c>
    </row>
    <row r="10">
      <c r="A10" s="21" t="inlineStr">
        <is>
          <t>M6</t>
        </is>
      </c>
      <c r="B10" s="18">
        <f>B9*(1+Hypotheses!$B$11)</f>
        <v/>
      </c>
      <c r="C10" s="18">
        <f>C9+B10</f>
        <v/>
      </c>
      <c r="D10" s="18">
        <f>D9*(1-Hypotheses!$B$13)+B10*Hypotheses!$B$12</f>
        <v/>
      </c>
      <c r="E10" s="18">
        <f>MAX(0,(C10-D10)*Hypotheses!$B$14)</f>
        <v/>
      </c>
      <c r="F10" s="13">
        <f>D10*Hypotheses!$B$5</f>
        <v/>
      </c>
      <c r="G10" s="13">
        <f>D10*(Hypotheses!$B$5*Hypotheses!$B$6+Hypotheses!$B$7)</f>
        <v/>
      </c>
      <c r="H10" s="13">
        <f>F10*Hypotheses!$B$8</f>
        <v/>
      </c>
      <c r="I10" s="13">
        <f>D10*Hypotheses!$B$35</f>
        <v/>
      </c>
      <c r="J10" s="13">
        <f>E10*Hypotheses!$B$36</f>
        <v/>
      </c>
      <c r="K10" s="23">
        <f>Hypotheses!$B$25</f>
        <v/>
      </c>
      <c r="L10" s="13">
        <f>F10-G10-H10-I10-J10-K10</f>
        <v/>
      </c>
      <c r="M10" s="13">
        <f>M9+L10</f>
        <v/>
      </c>
      <c r="N10" s="24">
        <f>IF(L10&gt;0,6,99)</f>
        <v/>
      </c>
      <c r="O10" s="24">
        <f>IF(M10&gt;0,6,99)</f>
        <v/>
      </c>
    </row>
    <row r="11">
      <c r="A11" s="21" t="inlineStr">
        <is>
          <t>M7</t>
        </is>
      </c>
      <c r="B11" s="18">
        <f>B10*(1+Hypotheses!$B$11)</f>
        <v/>
      </c>
      <c r="C11" s="18">
        <f>C10+B11</f>
        <v/>
      </c>
      <c r="D11" s="18">
        <f>D10*(1-Hypotheses!$B$13)+B11*Hypotheses!$B$12</f>
        <v/>
      </c>
      <c r="E11" s="18">
        <f>MAX(0,(C11-D11)*Hypotheses!$B$14)</f>
        <v/>
      </c>
      <c r="F11" s="13">
        <f>D11*Hypotheses!$B$5</f>
        <v/>
      </c>
      <c r="G11" s="13">
        <f>D11*(Hypotheses!$B$5*Hypotheses!$B$6+Hypotheses!$B$7)</f>
        <v/>
      </c>
      <c r="H11" s="13">
        <f>F11*Hypotheses!$B$8</f>
        <v/>
      </c>
      <c r="I11" s="13">
        <f>D11*Hypotheses!$B$35</f>
        <v/>
      </c>
      <c r="J11" s="13">
        <f>E11*Hypotheses!$B$36</f>
        <v/>
      </c>
      <c r="K11" s="23">
        <f>Hypotheses!$B$25</f>
        <v/>
      </c>
      <c r="L11" s="13">
        <f>F11-G11-H11-I11-J11-K11</f>
        <v/>
      </c>
      <c r="M11" s="13">
        <f>M10+L11</f>
        <v/>
      </c>
      <c r="N11" s="24">
        <f>IF(L11&gt;0,7,99)</f>
        <v/>
      </c>
      <c r="O11" s="24">
        <f>IF(M11&gt;0,7,99)</f>
        <v/>
      </c>
    </row>
    <row r="12">
      <c r="A12" s="21" t="inlineStr">
        <is>
          <t>M8</t>
        </is>
      </c>
      <c r="B12" s="18">
        <f>B11*(1+Hypotheses!$B$11)</f>
        <v/>
      </c>
      <c r="C12" s="18">
        <f>C11+B12</f>
        <v/>
      </c>
      <c r="D12" s="18">
        <f>D11*(1-Hypotheses!$B$13)+B12*Hypotheses!$B$12</f>
        <v/>
      </c>
      <c r="E12" s="18">
        <f>MAX(0,(C12-D12)*Hypotheses!$B$14)</f>
        <v/>
      </c>
      <c r="F12" s="13">
        <f>D12*Hypotheses!$B$5</f>
        <v/>
      </c>
      <c r="G12" s="13">
        <f>D12*(Hypotheses!$B$5*Hypotheses!$B$6+Hypotheses!$B$7)</f>
        <v/>
      </c>
      <c r="H12" s="13">
        <f>F12*Hypotheses!$B$8</f>
        <v/>
      </c>
      <c r="I12" s="13">
        <f>D12*Hypotheses!$B$35</f>
        <v/>
      </c>
      <c r="J12" s="13">
        <f>E12*Hypotheses!$B$36</f>
        <v/>
      </c>
      <c r="K12" s="23">
        <f>Hypotheses!$B$25</f>
        <v/>
      </c>
      <c r="L12" s="13">
        <f>F12-G12-H12-I12-J12-K12</f>
        <v/>
      </c>
      <c r="M12" s="13">
        <f>M11+L12</f>
        <v/>
      </c>
      <c r="N12" s="24">
        <f>IF(L12&gt;0,8,99)</f>
        <v/>
      </c>
      <c r="O12" s="24">
        <f>IF(M12&gt;0,8,99)</f>
        <v/>
      </c>
    </row>
    <row r="13">
      <c r="A13" s="21" t="inlineStr">
        <is>
          <t>M9</t>
        </is>
      </c>
      <c r="B13" s="18">
        <f>B12*(1+Hypotheses!$B$11)</f>
        <v/>
      </c>
      <c r="C13" s="18">
        <f>C12+B13</f>
        <v/>
      </c>
      <c r="D13" s="18">
        <f>D12*(1-Hypotheses!$B$13)+B13*Hypotheses!$B$12</f>
        <v/>
      </c>
      <c r="E13" s="18">
        <f>MAX(0,(C13-D13)*Hypotheses!$B$14)</f>
        <v/>
      </c>
      <c r="F13" s="13">
        <f>D13*Hypotheses!$B$5</f>
        <v/>
      </c>
      <c r="G13" s="13">
        <f>D13*(Hypotheses!$B$5*Hypotheses!$B$6+Hypotheses!$B$7)</f>
        <v/>
      </c>
      <c r="H13" s="13">
        <f>F13*Hypotheses!$B$8</f>
        <v/>
      </c>
      <c r="I13" s="13">
        <f>D13*Hypotheses!$B$35</f>
        <v/>
      </c>
      <c r="J13" s="13">
        <f>E13*Hypotheses!$B$36</f>
        <v/>
      </c>
      <c r="K13" s="23">
        <f>Hypotheses!$B$25</f>
        <v/>
      </c>
      <c r="L13" s="13">
        <f>F13-G13-H13-I13-J13-K13</f>
        <v/>
      </c>
      <c r="M13" s="13">
        <f>M12+L13</f>
        <v/>
      </c>
      <c r="N13" s="24">
        <f>IF(L13&gt;0,9,99)</f>
        <v/>
      </c>
      <c r="O13" s="24">
        <f>IF(M13&gt;0,9,99)</f>
        <v/>
      </c>
    </row>
    <row r="14">
      <c r="A14" s="21" t="inlineStr">
        <is>
          <t>M10</t>
        </is>
      </c>
      <c r="B14" s="18">
        <f>B13*(1+Hypotheses!$B$11)</f>
        <v/>
      </c>
      <c r="C14" s="18">
        <f>C13+B14</f>
        <v/>
      </c>
      <c r="D14" s="18">
        <f>D13*(1-Hypotheses!$B$13)+B14*Hypotheses!$B$12</f>
        <v/>
      </c>
      <c r="E14" s="18">
        <f>MAX(0,(C14-D14)*Hypotheses!$B$14)</f>
        <v/>
      </c>
      <c r="F14" s="13">
        <f>D14*Hypotheses!$B$5</f>
        <v/>
      </c>
      <c r="G14" s="13">
        <f>D14*(Hypotheses!$B$5*Hypotheses!$B$6+Hypotheses!$B$7)</f>
        <v/>
      </c>
      <c r="H14" s="13">
        <f>F14*Hypotheses!$B$8</f>
        <v/>
      </c>
      <c r="I14" s="13">
        <f>D14*Hypotheses!$B$35</f>
        <v/>
      </c>
      <c r="J14" s="13">
        <f>E14*Hypotheses!$B$36</f>
        <v/>
      </c>
      <c r="K14" s="23">
        <f>Hypotheses!$B$25</f>
        <v/>
      </c>
      <c r="L14" s="13">
        <f>F14-G14-H14-I14-J14-K14</f>
        <v/>
      </c>
      <c r="M14" s="13">
        <f>M13+L14</f>
        <v/>
      </c>
      <c r="N14" s="24">
        <f>IF(L14&gt;0,10,99)</f>
        <v/>
      </c>
      <c r="O14" s="24">
        <f>IF(M14&gt;0,10,99)</f>
        <v/>
      </c>
    </row>
    <row r="15">
      <c r="A15" s="21" t="inlineStr">
        <is>
          <t>M11</t>
        </is>
      </c>
      <c r="B15" s="18">
        <f>B14*(1+Hypotheses!$B$11)</f>
        <v/>
      </c>
      <c r="C15" s="18">
        <f>C14+B15</f>
        <v/>
      </c>
      <c r="D15" s="18">
        <f>D14*(1-Hypotheses!$B$13)+B15*Hypotheses!$B$12</f>
        <v/>
      </c>
      <c r="E15" s="18">
        <f>MAX(0,(C15-D15)*Hypotheses!$B$14)</f>
        <v/>
      </c>
      <c r="F15" s="13">
        <f>D15*Hypotheses!$B$5</f>
        <v/>
      </c>
      <c r="G15" s="13">
        <f>D15*(Hypotheses!$B$5*Hypotheses!$B$6+Hypotheses!$B$7)</f>
        <v/>
      </c>
      <c r="H15" s="13">
        <f>F15*Hypotheses!$B$8</f>
        <v/>
      </c>
      <c r="I15" s="13">
        <f>D15*Hypotheses!$B$35</f>
        <v/>
      </c>
      <c r="J15" s="13">
        <f>E15*Hypotheses!$B$36</f>
        <v/>
      </c>
      <c r="K15" s="23">
        <f>Hypotheses!$B$25</f>
        <v/>
      </c>
      <c r="L15" s="13">
        <f>F15-G15-H15-I15-J15-K15</f>
        <v/>
      </c>
      <c r="M15" s="13">
        <f>M14+L15</f>
        <v/>
      </c>
      <c r="N15" s="24">
        <f>IF(L15&gt;0,11,99)</f>
        <v/>
      </c>
      <c r="O15" s="24">
        <f>IF(M15&gt;0,11,99)</f>
        <v/>
      </c>
    </row>
    <row r="16">
      <c r="A16" s="21" t="inlineStr">
        <is>
          <t>M12</t>
        </is>
      </c>
      <c r="B16" s="18">
        <f>B15*(1+Hypotheses!$B$11)</f>
        <v/>
      </c>
      <c r="C16" s="18">
        <f>C15+B16</f>
        <v/>
      </c>
      <c r="D16" s="18">
        <f>D15*(1-Hypotheses!$B$13)+B16*Hypotheses!$B$12</f>
        <v/>
      </c>
      <c r="E16" s="18">
        <f>MAX(0,(C16-D16)*Hypotheses!$B$14)</f>
        <v/>
      </c>
      <c r="F16" s="13">
        <f>D16*Hypotheses!$B$5</f>
        <v/>
      </c>
      <c r="G16" s="13">
        <f>D16*(Hypotheses!$B$5*Hypotheses!$B$6+Hypotheses!$B$7)</f>
        <v/>
      </c>
      <c r="H16" s="13">
        <f>F16*Hypotheses!$B$8</f>
        <v/>
      </c>
      <c r="I16" s="13">
        <f>D16*Hypotheses!$B$35</f>
        <v/>
      </c>
      <c r="J16" s="13">
        <f>E16*Hypotheses!$B$36</f>
        <v/>
      </c>
      <c r="K16" s="23">
        <f>Hypotheses!$B$25</f>
        <v/>
      </c>
      <c r="L16" s="13">
        <f>F16-G16-H16-I16-J16-K16</f>
        <v/>
      </c>
      <c r="M16" s="13">
        <f>M15+L16</f>
        <v/>
      </c>
      <c r="N16" s="24">
        <f>IF(L16&gt;0,12,99)</f>
        <v/>
      </c>
      <c r="O16" s="24">
        <f>IF(M16&gt;0,12,99)</f>
        <v/>
      </c>
    </row>
    <row r="17">
      <c r="A17" s="21" t="inlineStr">
        <is>
          <t>M13</t>
        </is>
      </c>
      <c r="B17" s="18">
        <f>B16*(1+Hypotheses!$B$11)</f>
        <v/>
      </c>
      <c r="C17" s="18">
        <f>C16+B17</f>
        <v/>
      </c>
      <c r="D17" s="18">
        <f>D16*(1-Hypotheses!$B$13)+B17*Hypotheses!$B$12</f>
        <v/>
      </c>
      <c r="E17" s="18">
        <f>MAX(0,(C17-D17)*Hypotheses!$B$14)</f>
        <v/>
      </c>
      <c r="F17" s="13">
        <f>D17*Hypotheses!$B$5</f>
        <v/>
      </c>
      <c r="G17" s="13">
        <f>D17*(Hypotheses!$B$5*Hypotheses!$B$6+Hypotheses!$B$7)</f>
        <v/>
      </c>
      <c r="H17" s="13">
        <f>F17*Hypotheses!$B$8</f>
        <v/>
      </c>
      <c r="I17" s="13">
        <f>D17*Hypotheses!$B$35</f>
        <v/>
      </c>
      <c r="J17" s="13">
        <f>E17*Hypotheses!$B$36</f>
        <v/>
      </c>
      <c r="K17" s="23">
        <f>Hypotheses!$B$25</f>
        <v/>
      </c>
      <c r="L17" s="13">
        <f>F17-G17-H17-I17-J17-K17</f>
        <v/>
      </c>
      <c r="M17" s="13">
        <f>M16+L17</f>
        <v/>
      </c>
      <c r="N17" s="24">
        <f>IF(L17&gt;0,13,99)</f>
        <v/>
      </c>
      <c r="O17" s="24">
        <f>IF(M17&gt;0,13,99)</f>
        <v/>
      </c>
    </row>
    <row r="18">
      <c r="A18" s="21" t="inlineStr">
        <is>
          <t>M14</t>
        </is>
      </c>
      <c r="B18" s="18">
        <f>B17*(1+Hypotheses!$B$11)</f>
        <v/>
      </c>
      <c r="C18" s="18">
        <f>C17+B18</f>
        <v/>
      </c>
      <c r="D18" s="18">
        <f>D17*(1-Hypotheses!$B$13)+B18*Hypotheses!$B$12</f>
        <v/>
      </c>
      <c r="E18" s="18">
        <f>MAX(0,(C18-D18)*Hypotheses!$B$14)</f>
        <v/>
      </c>
      <c r="F18" s="13">
        <f>D18*Hypotheses!$B$5</f>
        <v/>
      </c>
      <c r="G18" s="13">
        <f>D18*(Hypotheses!$B$5*Hypotheses!$B$6+Hypotheses!$B$7)</f>
        <v/>
      </c>
      <c r="H18" s="13">
        <f>F18*Hypotheses!$B$8</f>
        <v/>
      </c>
      <c r="I18" s="13">
        <f>D18*Hypotheses!$B$35</f>
        <v/>
      </c>
      <c r="J18" s="13">
        <f>E18*Hypotheses!$B$36</f>
        <v/>
      </c>
      <c r="K18" s="23">
        <f>Hypotheses!$B$25</f>
        <v/>
      </c>
      <c r="L18" s="13">
        <f>F18-G18-H18-I18-J18-K18</f>
        <v/>
      </c>
      <c r="M18" s="13">
        <f>M17+L18</f>
        <v/>
      </c>
      <c r="N18" s="24">
        <f>IF(L18&gt;0,14,99)</f>
        <v/>
      </c>
      <c r="O18" s="24">
        <f>IF(M18&gt;0,14,99)</f>
        <v/>
      </c>
    </row>
    <row r="19">
      <c r="A19" s="21" t="inlineStr">
        <is>
          <t>M15</t>
        </is>
      </c>
      <c r="B19" s="18">
        <f>B18*(1+Hypotheses!$B$11)</f>
        <v/>
      </c>
      <c r="C19" s="18">
        <f>C18+B19</f>
        <v/>
      </c>
      <c r="D19" s="18">
        <f>D18*(1-Hypotheses!$B$13)+B19*Hypotheses!$B$12</f>
        <v/>
      </c>
      <c r="E19" s="18">
        <f>MAX(0,(C19-D19)*Hypotheses!$B$14)</f>
        <v/>
      </c>
      <c r="F19" s="13">
        <f>D19*Hypotheses!$B$5</f>
        <v/>
      </c>
      <c r="G19" s="13">
        <f>D19*(Hypotheses!$B$5*Hypotheses!$B$6+Hypotheses!$B$7)</f>
        <v/>
      </c>
      <c r="H19" s="13">
        <f>F19*Hypotheses!$B$8</f>
        <v/>
      </c>
      <c r="I19" s="13">
        <f>D19*Hypotheses!$B$35</f>
        <v/>
      </c>
      <c r="J19" s="13">
        <f>E19*Hypotheses!$B$36</f>
        <v/>
      </c>
      <c r="K19" s="23">
        <f>Hypotheses!$B$25</f>
        <v/>
      </c>
      <c r="L19" s="13">
        <f>F19-G19-H19-I19-J19-K19</f>
        <v/>
      </c>
      <c r="M19" s="13">
        <f>M18+L19</f>
        <v/>
      </c>
      <c r="N19" s="24">
        <f>IF(L19&gt;0,15,99)</f>
        <v/>
      </c>
      <c r="O19" s="24">
        <f>IF(M19&gt;0,15,99)</f>
        <v/>
      </c>
    </row>
    <row r="20">
      <c r="A20" s="21" t="inlineStr">
        <is>
          <t>M16</t>
        </is>
      </c>
      <c r="B20" s="18">
        <f>B19*(1+Hypotheses!$B$11)</f>
        <v/>
      </c>
      <c r="C20" s="18">
        <f>C19+B20</f>
        <v/>
      </c>
      <c r="D20" s="18">
        <f>D19*(1-Hypotheses!$B$13)+B20*Hypotheses!$B$12</f>
        <v/>
      </c>
      <c r="E20" s="18">
        <f>MAX(0,(C20-D20)*Hypotheses!$B$14)</f>
        <v/>
      </c>
      <c r="F20" s="13">
        <f>D20*Hypotheses!$B$5</f>
        <v/>
      </c>
      <c r="G20" s="13">
        <f>D20*(Hypotheses!$B$5*Hypotheses!$B$6+Hypotheses!$B$7)</f>
        <v/>
      </c>
      <c r="H20" s="13">
        <f>F20*Hypotheses!$B$8</f>
        <v/>
      </c>
      <c r="I20" s="13">
        <f>D20*Hypotheses!$B$35</f>
        <v/>
      </c>
      <c r="J20" s="13">
        <f>E20*Hypotheses!$B$36</f>
        <v/>
      </c>
      <c r="K20" s="23">
        <f>Hypotheses!$B$25</f>
        <v/>
      </c>
      <c r="L20" s="13">
        <f>F20-G20-H20-I20-J20-K20</f>
        <v/>
      </c>
      <c r="M20" s="13">
        <f>M19+L20</f>
        <v/>
      </c>
      <c r="N20" s="24">
        <f>IF(L20&gt;0,16,99)</f>
        <v/>
      </c>
      <c r="O20" s="24">
        <f>IF(M20&gt;0,16,99)</f>
        <v/>
      </c>
    </row>
    <row r="21">
      <c r="A21" s="21" t="inlineStr">
        <is>
          <t>M17</t>
        </is>
      </c>
      <c r="B21" s="18">
        <f>B20*(1+Hypotheses!$B$11)</f>
        <v/>
      </c>
      <c r="C21" s="18">
        <f>C20+B21</f>
        <v/>
      </c>
      <c r="D21" s="18">
        <f>D20*(1-Hypotheses!$B$13)+B21*Hypotheses!$B$12</f>
        <v/>
      </c>
      <c r="E21" s="18">
        <f>MAX(0,(C21-D21)*Hypotheses!$B$14)</f>
        <v/>
      </c>
      <c r="F21" s="13">
        <f>D21*Hypotheses!$B$5</f>
        <v/>
      </c>
      <c r="G21" s="13">
        <f>D21*(Hypotheses!$B$5*Hypotheses!$B$6+Hypotheses!$B$7)</f>
        <v/>
      </c>
      <c r="H21" s="13">
        <f>F21*Hypotheses!$B$8</f>
        <v/>
      </c>
      <c r="I21" s="13">
        <f>D21*Hypotheses!$B$35</f>
        <v/>
      </c>
      <c r="J21" s="13">
        <f>E21*Hypotheses!$B$36</f>
        <v/>
      </c>
      <c r="K21" s="23">
        <f>Hypotheses!$B$25</f>
        <v/>
      </c>
      <c r="L21" s="13">
        <f>F21-G21-H21-I21-J21-K21</f>
        <v/>
      </c>
      <c r="M21" s="13">
        <f>M20+L21</f>
        <v/>
      </c>
      <c r="N21" s="24">
        <f>IF(L21&gt;0,17,99)</f>
        <v/>
      </c>
      <c r="O21" s="24">
        <f>IF(M21&gt;0,17,99)</f>
        <v/>
      </c>
    </row>
    <row r="22">
      <c r="A22" s="21" t="inlineStr">
        <is>
          <t>M18</t>
        </is>
      </c>
      <c r="B22" s="18">
        <f>B21*(1+Hypotheses!$B$11)</f>
        <v/>
      </c>
      <c r="C22" s="18">
        <f>C21+B22</f>
        <v/>
      </c>
      <c r="D22" s="18">
        <f>D21*(1-Hypotheses!$B$13)+B22*Hypotheses!$B$12</f>
        <v/>
      </c>
      <c r="E22" s="18">
        <f>MAX(0,(C22-D22)*Hypotheses!$B$14)</f>
        <v/>
      </c>
      <c r="F22" s="13">
        <f>D22*Hypotheses!$B$5</f>
        <v/>
      </c>
      <c r="G22" s="13">
        <f>D22*(Hypotheses!$B$5*Hypotheses!$B$6+Hypotheses!$B$7)</f>
        <v/>
      </c>
      <c r="H22" s="13">
        <f>F22*Hypotheses!$B$8</f>
        <v/>
      </c>
      <c r="I22" s="13">
        <f>D22*Hypotheses!$B$35</f>
        <v/>
      </c>
      <c r="J22" s="13">
        <f>E22*Hypotheses!$B$36</f>
        <v/>
      </c>
      <c r="K22" s="23">
        <f>Hypotheses!$B$25</f>
        <v/>
      </c>
      <c r="L22" s="13">
        <f>F22-G22-H22-I22-J22-K22</f>
        <v/>
      </c>
      <c r="M22" s="13">
        <f>M21+L22</f>
        <v/>
      </c>
      <c r="N22" s="24">
        <f>IF(L22&gt;0,18,99)</f>
        <v/>
      </c>
      <c r="O22" s="24">
        <f>IF(M22&gt;0,18,99)</f>
        <v/>
      </c>
    </row>
    <row r="23">
      <c r="A23" s="21" t="inlineStr">
        <is>
          <t>M19</t>
        </is>
      </c>
      <c r="B23" s="18">
        <f>B22*(1+Hypotheses!$B$11)</f>
        <v/>
      </c>
      <c r="C23" s="18">
        <f>C22+B23</f>
        <v/>
      </c>
      <c r="D23" s="18">
        <f>D22*(1-Hypotheses!$B$13)+B23*Hypotheses!$B$12</f>
        <v/>
      </c>
      <c r="E23" s="18">
        <f>MAX(0,(C23-D23)*Hypotheses!$B$14)</f>
        <v/>
      </c>
      <c r="F23" s="13">
        <f>D23*Hypotheses!$B$5</f>
        <v/>
      </c>
      <c r="G23" s="13">
        <f>D23*(Hypotheses!$B$5*Hypotheses!$B$6+Hypotheses!$B$7)</f>
        <v/>
      </c>
      <c r="H23" s="13">
        <f>F23*Hypotheses!$B$8</f>
        <v/>
      </c>
      <c r="I23" s="13">
        <f>D23*Hypotheses!$B$35</f>
        <v/>
      </c>
      <c r="J23" s="13">
        <f>E23*Hypotheses!$B$36</f>
        <v/>
      </c>
      <c r="K23" s="23">
        <f>Hypotheses!$B$25</f>
        <v/>
      </c>
      <c r="L23" s="13">
        <f>F23-G23-H23-I23-J23-K23</f>
        <v/>
      </c>
      <c r="M23" s="13">
        <f>M22+L23</f>
        <v/>
      </c>
      <c r="N23" s="24">
        <f>IF(L23&gt;0,19,99)</f>
        <v/>
      </c>
      <c r="O23" s="24">
        <f>IF(M23&gt;0,19,99)</f>
        <v/>
      </c>
    </row>
    <row r="24">
      <c r="A24" s="21" t="inlineStr">
        <is>
          <t>M20</t>
        </is>
      </c>
      <c r="B24" s="18">
        <f>B23*(1+Hypotheses!$B$11)</f>
        <v/>
      </c>
      <c r="C24" s="18">
        <f>C23+B24</f>
        <v/>
      </c>
      <c r="D24" s="18">
        <f>D23*(1-Hypotheses!$B$13)+B24*Hypotheses!$B$12</f>
        <v/>
      </c>
      <c r="E24" s="18">
        <f>MAX(0,(C24-D24)*Hypotheses!$B$14)</f>
        <v/>
      </c>
      <c r="F24" s="13">
        <f>D24*Hypotheses!$B$5</f>
        <v/>
      </c>
      <c r="G24" s="13">
        <f>D24*(Hypotheses!$B$5*Hypotheses!$B$6+Hypotheses!$B$7)</f>
        <v/>
      </c>
      <c r="H24" s="13">
        <f>F24*Hypotheses!$B$8</f>
        <v/>
      </c>
      <c r="I24" s="13">
        <f>D24*Hypotheses!$B$35</f>
        <v/>
      </c>
      <c r="J24" s="13">
        <f>E24*Hypotheses!$B$36</f>
        <v/>
      </c>
      <c r="K24" s="23">
        <f>Hypotheses!$B$25</f>
        <v/>
      </c>
      <c r="L24" s="13">
        <f>F24-G24-H24-I24-J24-K24</f>
        <v/>
      </c>
      <c r="M24" s="13">
        <f>M23+L24</f>
        <v/>
      </c>
      <c r="N24" s="24">
        <f>IF(L24&gt;0,20,99)</f>
        <v/>
      </c>
      <c r="O24" s="24">
        <f>IF(M24&gt;0,20,99)</f>
        <v/>
      </c>
    </row>
    <row r="25">
      <c r="A25" s="21" t="inlineStr">
        <is>
          <t>M21</t>
        </is>
      </c>
      <c r="B25" s="18">
        <f>B24*(1+Hypotheses!$B$11)</f>
        <v/>
      </c>
      <c r="C25" s="18">
        <f>C24+B25</f>
        <v/>
      </c>
      <c r="D25" s="18">
        <f>D24*(1-Hypotheses!$B$13)+B25*Hypotheses!$B$12</f>
        <v/>
      </c>
      <c r="E25" s="18">
        <f>MAX(0,(C25-D25)*Hypotheses!$B$14)</f>
        <v/>
      </c>
      <c r="F25" s="13">
        <f>D25*Hypotheses!$B$5</f>
        <v/>
      </c>
      <c r="G25" s="13">
        <f>D25*(Hypotheses!$B$5*Hypotheses!$B$6+Hypotheses!$B$7)</f>
        <v/>
      </c>
      <c r="H25" s="13">
        <f>F25*Hypotheses!$B$8</f>
        <v/>
      </c>
      <c r="I25" s="13">
        <f>D25*Hypotheses!$B$35</f>
        <v/>
      </c>
      <c r="J25" s="13">
        <f>E25*Hypotheses!$B$36</f>
        <v/>
      </c>
      <c r="K25" s="23">
        <f>Hypotheses!$B$25</f>
        <v/>
      </c>
      <c r="L25" s="13">
        <f>F25-G25-H25-I25-J25-K25</f>
        <v/>
      </c>
      <c r="M25" s="13">
        <f>M24+L25</f>
        <v/>
      </c>
      <c r="N25" s="24">
        <f>IF(L25&gt;0,21,99)</f>
        <v/>
      </c>
      <c r="O25" s="24">
        <f>IF(M25&gt;0,21,99)</f>
        <v/>
      </c>
    </row>
    <row r="26">
      <c r="A26" s="21" t="inlineStr">
        <is>
          <t>M22</t>
        </is>
      </c>
      <c r="B26" s="18">
        <f>B25*(1+Hypotheses!$B$11)</f>
        <v/>
      </c>
      <c r="C26" s="18">
        <f>C25+B26</f>
        <v/>
      </c>
      <c r="D26" s="18">
        <f>D25*(1-Hypotheses!$B$13)+B26*Hypotheses!$B$12</f>
        <v/>
      </c>
      <c r="E26" s="18">
        <f>MAX(0,(C26-D26)*Hypotheses!$B$14)</f>
        <v/>
      </c>
      <c r="F26" s="13">
        <f>D26*Hypotheses!$B$5</f>
        <v/>
      </c>
      <c r="G26" s="13">
        <f>D26*(Hypotheses!$B$5*Hypotheses!$B$6+Hypotheses!$B$7)</f>
        <v/>
      </c>
      <c r="H26" s="13">
        <f>F26*Hypotheses!$B$8</f>
        <v/>
      </c>
      <c r="I26" s="13">
        <f>D26*Hypotheses!$B$35</f>
        <v/>
      </c>
      <c r="J26" s="13">
        <f>E26*Hypotheses!$B$36</f>
        <v/>
      </c>
      <c r="K26" s="23">
        <f>Hypotheses!$B$25</f>
        <v/>
      </c>
      <c r="L26" s="13">
        <f>F26-G26-H26-I26-J26-K26</f>
        <v/>
      </c>
      <c r="M26" s="13">
        <f>M25+L26</f>
        <v/>
      </c>
      <c r="N26" s="24">
        <f>IF(L26&gt;0,22,99)</f>
        <v/>
      </c>
      <c r="O26" s="24">
        <f>IF(M26&gt;0,22,99)</f>
        <v/>
      </c>
    </row>
    <row r="27">
      <c r="A27" s="21" t="inlineStr">
        <is>
          <t>M23</t>
        </is>
      </c>
      <c r="B27" s="18">
        <f>B26*(1+Hypotheses!$B$11)</f>
        <v/>
      </c>
      <c r="C27" s="18">
        <f>C26+B27</f>
        <v/>
      </c>
      <c r="D27" s="18">
        <f>D26*(1-Hypotheses!$B$13)+B27*Hypotheses!$B$12</f>
        <v/>
      </c>
      <c r="E27" s="18">
        <f>MAX(0,(C27-D27)*Hypotheses!$B$14)</f>
        <v/>
      </c>
      <c r="F27" s="13">
        <f>D27*Hypotheses!$B$5</f>
        <v/>
      </c>
      <c r="G27" s="13">
        <f>D27*(Hypotheses!$B$5*Hypotheses!$B$6+Hypotheses!$B$7)</f>
        <v/>
      </c>
      <c r="H27" s="13">
        <f>F27*Hypotheses!$B$8</f>
        <v/>
      </c>
      <c r="I27" s="13">
        <f>D27*Hypotheses!$B$35</f>
        <v/>
      </c>
      <c r="J27" s="13">
        <f>E27*Hypotheses!$B$36</f>
        <v/>
      </c>
      <c r="K27" s="23">
        <f>Hypotheses!$B$25</f>
        <v/>
      </c>
      <c r="L27" s="13">
        <f>F27-G27-H27-I27-J27-K27</f>
        <v/>
      </c>
      <c r="M27" s="13">
        <f>M26+L27</f>
        <v/>
      </c>
      <c r="N27" s="24">
        <f>IF(L27&gt;0,23,99)</f>
        <v/>
      </c>
      <c r="O27" s="24">
        <f>IF(M27&gt;0,23,99)</f>
        <v/>
      </c>
    </row>
    <row r="28">
      <c r="A28" s="21" t="inlineStr">
        <is>
          <t>M24</t>
        </is>
      </c>
      <c r="B28" s="18">
        <f>B27*(1+Hypotheses!$B$11)</f>
        <v/>
      </c>
      <c r="C28" s="18">
        <f>C27+B28</f>
        <v/>
      </c>
      <c r="D28" s="18">
        <f>D27*(1-Hypotheses!$B$13)+B28*Hypotheses!$B$12</f>
        <v/>
      </c>
      <c r="E28" s="18">
        <f>MAX(0,(C28-D28)*Hypotheses!$B$14)</f>
        <v/>
      </c>
      <c r="F28" s="13">
        <f>D28*Hypotheses!$B$5</f>
        <v/>
      </c>
      <c r="G28" s="13">
        <f>D28*(Hypotheses!$B$5*Hypotheses!$B$6+Hypotheses!$B$7)</f>
        <v/>
      </c>
      <c r="H28" s="13">
        <f>F28*Hypotheses!$B$8</f>
        <v/>
      </c>
      <c r="I28" s="13">
        <f>D28*Hypotheses!$B$35</f>
        <v/>
      </c>
      <c r="J28" s="13">
        <f>E28*Hypotheses!$B$36</f>
        <v/>
      </c>
      <c r="K28" s="23">
        <f>Hypotheses!$B$25</f>
        <v/>
      </c>
      <c r="L28" s="13">
        <f>F28-G28-H28-I28-J28-K28</f>
        <v/>
      </c>
      <c r="M28" s="13">
        <f>M27+L28</f>
        <v/>
      </c>
      <c r="N28" s="24">
        <f>IF(L28&gt;0,24,99)</f>
        <v/>
      </c>
      <c r="O28" s="24">
        <f>IF(M28&gt;0,24,99)</f>
        <v/>
      </c>
    </row>
    <row r="29">
      <c r="A29" s="12" t="inlineStr">
        <is>
          <t>TOTAL 24 mois</t>
        </is>
      </c>
      <c r="D29" s="25">
        <f>D28</f>
        <v/>
      </c>
      <c r="F29" s="26">
        <f>SUM(F5:F28)</f>
        <v/>
      </c>
      <c r="G29" s="26">
        <f>SUM(G5:G28)</f>
        <v/>
      </c>
      <c r="H29" s="26">
        <f>SUM(H5:H28)</f>
        <v/>
      </c>
      <c r="I29" s="26">
        <f>SUM(I5:I28)</f>
        <v/>
      </c>
      <c r="J29" s="26">
        <f>SUM(J5:J28)</f>
        <v/>
      </c>
      <c r="K29" s="26">
        <f>SUM(K5:K28)</f>
        <v/>
      </c>
      <c r="L29" s="26">
        <f>SUM(L5:L28)</f>
        <v/>
      </c>
    </row>
    <row r="31">
      <c r="A31" s="12" t="inlineStr">
        <is>
          <t>Premier mois rentable (résultat du mois &gt; 0) :</t>
        </is>
      </c>
      <c r="D31" s="12">
        <f>IF(MIN(N5:N28)=99,"pas sur 24 mois","M"&amp;MIN(N5:N28))</f>
        <v/>
      </c>
    </row>
    <row r="32">
      <c r="A32" s="12" t="inlineStr">
        <is>
          <t>Part de Claude dans le CA (24 mois) :</t>
        </is>
      </c>
      <c r="D32" s="27">
        <f>IF(F29&gt;0,(I29+J29)/F29,0)</f>
        <v/>
      </c>
    </row>
    <row r="33">
      <c r="A33" s="12" t="inlineStr">
        <is>
          <t>Abonnés payants au mois 24 :</t>
        </is>
      </c>
      <c r="D33" s="25">
        <f>D28</f>
        <v/>
      </c>
    </row>
    <row r="34">
      <c r="A34" s="12" t="inlineStr">
        <is>
          <t>Mois où le cumul redevient positif (pertes du début remboursées) :</t>
        </is>
      </c>
      <c r="D34" s="12">
        <f>IF(MIN(O5:O28)=99,"pas sur 24 mois","M"&amp;MIN(O5:O28))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52" customWidth="1" min="3" max="3"/>
    <col width="36" customWidth="1" min="4" max="4"/>
    <col width="10" customWidth="1" min="5" max="5"/>
    <col width="34" customWidth="1" min="6" max="6"/>
  </cols>
  <sheetData>
    <row r="1">
      <c r="A1" s="1" t="inlineStr">
        <is>
          <t>MoriWords — Optimisations avant / après mise en ligne</t>
        </is>
      </c>
    </row>
    <row r="3">
      <c r="A3" s="14" t="inlineStr">
        <is>
          <t>Priorité</t>
        </is>
      </c>
      <c r="B3" s="14" t="inlineStr">
        <is>
          <t>Optimisation</t>
        </is>
      </c>
      <c r="C3" s="14" t="inlineStr">
        <is>
          <t>Pourquoi</t>
        </is>
      </c>
      <c r="D3" s="14" t="inlineStr">
        <is>
          <t>Où dans le code</t>
        </is>
      </c>
      <c r="E3" s="14" t="inlineStr">
        <is>
          <t>Effort</t>
        </is>
      </c>
      <c r="F3" s="14" t="inlineStr">
        <is>
          <t>Gain / impact</t>
        </is>
      </c>
    </row>
    <row r="4">
      <c r="A4" s="28" t="inlineStr">
        <is>
          <t>NÉCESSAIRE</t>
        </is>
      </c>
      <c r="B4" s="29" t="inlineStr">
        <is>
          <t>Comptes utilisateurs (modèle User + authentification)</t>
        </is>
      </c>
      <c r="C4" s="30" t="inlineStr">
        <is>
          <t>Aujourd'hui l'appli est mono-utilisateur : pas de modèle User dans le schéma, tout le monde verrait les mêmes decks et historiques.</t>
        </is>
      </c>
      <c r="D4" s="30" t="inlineStr">
        <is>
          <t>prisma/schema.prisma (Deck, Card, SourceText, ExerciseAttempt… à rattacher à un userId)</t>
        </is>
      </c>
      <c r="E4" s="30" t="inlineStr">
        <is>
          <t>Élevé</t>
        </is>
      </c>
      <c r="F4" s="30" t="inlineStr">
        <is>
          <t>Indispensable pour vendre un abonnement</t>
        </is>
      </c>
    </row>
    <row r="5">
      <c r="A5" s="28" t="inlineStr">
        <is>
          <t>NÉCESSAIRE</t>
        </is>
      </c>
      <c r="B5" s="29" t="inlineStr">
        <is>
          <t>Paiement Stripe (Checkout + webhooks + statut d'abonnement)</t>
        </is>
      </c>
      <c r="C5" s="30" t="inlineStr">
        <is>
          <t>Encaisser, gérer les résiliations et bloquer les fonctions premium si l'abonnement expire.</t>
        </is>
      </c>
      <c r="D5" s="30" t="inlineStr">
        <is>
          <t>Nouvelle route src/app/api/billing/* + champ subscriptionStatus sur User</t>
        </is>
      </c>
      <c r="E5" s="30" t="inlineStr">
        <is>
          <t>Moyen</t>
        </is>
      </c>
      <c r="F5" s="30" t="inlineStr">
        <is>
          <t>Indispensable</t>
        </is>
      </c>
    </row>
    <row r="6">
      <c r="A6" s="28" t="inlineStr">
        <is>
          <t>NÉCESSAIRE</t>
        </is>
      </c>
      <c r="B6" s="29" t="inlineStr">
        <is>
          <t>Quotas par utilisateur sur chaque route qui appelle Claude</t>
        </is>
      </c>
      <c r="C6" s="30" t="inlineStr">
        <is>
          <t>Sans limite, un seul utilisateur (ou un bot) peut faire exploser la facture Anthropic.</t>
        </is>
      </c>
      <c r="D6" s="30" t="inlineStr">
        <is>
          <t>src/app/api/translate, decks/*/examples, grammar/exercises/correct, source-texts/*</t>
        </is>
      </c>
      <c r="E6" s="30" t="inlineStr">
        <is>
          <t>Moyen</t>
        </is>
      </c>
      <c r="F6" s="30" t="inlineStr">
        <is>
          <t>Protège la marge : coût max par user connu à l'avance</t>
        </is>
      </c>
    </row>
    <row r="7">
      <c r="A7" s="28" t="inlineStr">
        <is>
          <t>NÉCESSAIRE</t>
        </is>
      </c>
      <c r="B7" s="29" t="inlineStr">
        <is>
          <t>Journaliser l'usage Claude (response.usage) par utilisateur et par action</t>
        </is>
      </c>
      <c r="C7" s="30" t="inlineStr">
        <is>
          <t>Remplacer les estimations de ce fichier par des chiffres réels et repérer les abus.</t>
        </is>
      </c>
      <c r="D7" s="30" t="inlineStr">
        <is>
          <t>src/lib/feeds/claude-json-generator.ts + src/lib/translation/translate.ts (nouvelle table ClaudeUsage)</t>
        </is>
      </c>
      <c r="E7" s="30" t="inlineStr">
        <is>
          <t>Faible</t>
        </is>
      </c>
      <c r="F7" s="30" t="inlineStr">
        <is>
          <t>Pilotage : vrais coûts par action</t>
        </is>
      </c>
    </row>
    <row r="8">
      <c r="A8" s="28" t="inlineStr">
        <is>
          <t>NÉCESSAIRE</t>
        </is>
      </c>
      <c r="B8" s="29" t="inlineStr">
        <is>
          <t>Plafond de dépense + alertes dans la console Anthropic</t>
        </is>
      </c>
      <c r="C8" s="30" t="inlineStr">
        <is>
          <t>Filet de sécurité si un bug ou un abus déclenche des milliers d'appels.</t>
        </is>
      </c>
      <c r="D8" s="30" t="inlineStr">
        <is>
          <t>Console Anthropic (réglage, pas de code)</t>
        </is>
      </c>
      <c r="E8" s="30" t="inlineStr">
        <is>
          <t>Très faible</t>
        </is>
      </c>
      <c r="F8" s="30" t="inlineStr">
        <is>
          <t>Évite la mauvaise surprise</t>
        </is>
      </c>
    </row>
    <row r="9">
      <c r="A9" s="28" t="inlineStr">
        <is>
          <t>NÉCESSAIRE</t>
        </is>
      </c>
      <c r="B9" s="29" t="inlineStr">
        <is>
          <t>Passer sur Vercel Pro</t>
        </is>
      </c>
      <c r="C9" s="30" t="inlineStr">
        <is>
          <t>Le plan Hobby gratuit interdit l'usage commercial.</t>
        </is>
      </c>
      <c r="D9" s="30" t="inlineStr">
        <is>
          <t>Tableau de bord Vercel</t>
        </is>
      </c>
      <c r="E9" s="30" t="inlineStr">
        <is>
          <t>Très faible</t>
        </is>
      </c>
      <c r="F9" s="30" t="inlineStr">
        <is>
          <t>Conformité</t>
        </is>
      </c>
    </row>
    <row r="10">
      <c r="A10" s="28" t="inlineStr">
        <is>
          <t>NÉCESSAIRE</t>
        </is>
      </c>
      <c r="B10" s="29" t="inlineStr">
        <is>
          <t>Mentions légales, CGV, politique de confidentialité (RGPD)</t>
        </is>
      </c>
      <c r="C10" s="30" t="inlineStr">
        <is>
          <t>Obligatoire dès qu'on vend en ligne et qu'on stocke des comptes (emails).</t>
        </is>
      </c>
      <c r="D10" s="30" t="inlineStr">
        <is>
          <t>Pages statiques + bandeau / consentement si analytics</t>
        </is>
      </c>
      <c r="E10" s="30" t="inlineStr">
        <is>
          <t>Faible</t>
        </is>
      </c>
      <c r="F10" s="30" t="inlineStr">
        <is>
          <t>Conformité légale</t>
        </is>
      </c>
    </row>
    <row r="11">
      <c r="A11" s="28" t="inlineStr">
        <is>
          <t>NÉCESSAIRE</t>
        </is>
      </c>
      <c r="B11" s="29" t="inlineStr">
        <is>
          <t>Vérifier le droit des « citations d'anime » générées</t>
        </is>
      </c>
      <c r="C11" s="30" t="inlineStr">
        <is>
          <t>Des répliques d'œuvres protégées affichées dans un produit payant peuvent poser problème.</t>
        </is>
      </c>
      <c r="D11" s="30" t="inlineStr">
        <is>
          <t>src/lib/feeds/anime-quote.ts</t>
        </is>
      </c>
      <c r="E11" s="30" t="inlineStr">
        <is>
          <t>Faible</t>
        </is>
      </c>
      <c r="F11" s="30" t="inlineStr">
        <is>
          <t>Réduit le risque juridique</t>
        </is>
      </c>
    </row>
    <row r="12">
      <c r="A12" s="31" t="inlineStr">
        <is>
          <t>OPTIONNEL</t>
        </is>
      </c>
      <c r="B12" s="29" t="inlineStr">
        <is>
          <t>Textes du jour partagés (1 génération par jour pour tous)</t>
        </is>
      </c>
      <c r="C12" s="30" t="inlineStr">
        <is>
          <t>Aujourd'hui chaque clic sur « citation / dialogue / extrait » rappelle Claude. Un texte du jour commun rend ce coût fixe.</t>
        </is>
      </c>
      <c r="D12" s="30" t="inlineStr">
        <is>
          <t>src/app/api/source-texts/* + le cron de vercel.json</t>
        </is>
      </c>
      <c r="E12" s="30" t="inlineStr">
        <is>
          <t>Faible</t>
        </is>
      </c>
      <c r="F12" s="30" t="inlineStr">
        <is>
          <t>Coût textes : de ~0,06 €/user/mois à quelques centimes par jour au total</t>
        </is>
      </c>
    </row>
    <row r="13">
      <c r="A13" s="31" t="inlineStr">
        <is>
          <t>OPTIONNEL</t>
        </is>
      </c>
      <c r="B13" s="29" t="inlineStr">
        <is>
          <t>Pré-remplir les caches avec l'API Batch (-50 %)</t>
        </is>
      </c>
      <c r="C13" s="30" t="inlineStr">
        <is>
          <t>Générer à l'avance les exemples des mots JLPT N5-N3 et tous les points de grammaire : les utilisateurs tombent directement dans le cache.</t>
        </is>
      </c>
      <c r="D13" s="30" t="inlineStr">
        <is>
          <t>Script dans scripts/ utilisant client.messages.batches</t>
        </is>
      </c>
      <c r="E13" s="30" t="inlineStr">
        <is>
          <t>Moyen</t>
        </is>
      </c>
      <c r="F13" s="30" t="inlineStr">
        <is>
          <t>~5 000 mots × 0,0033 $ × 50 % ≈ 8 $ une seule fois, puis exemples quasi gratuits</t>
        </is>
      </c>
    </row>
    <row r="14">
      <c r="A14" s="31" t="inlineStr">
        <is>
          <t>OPTIONNEL</t>
        </is>
      </c>
      <c r="B14" s="29" t="inlineStr">
        <is>
          <t>Sorties structurées (output_config.format) au lieu d'extraire le JSON à la main</t>
        </is>
      </c>
      <c r="C14" s="30" t="inlineStr">
        <is>
          <t>Moins de réponses inexploitables = moins d'erreurs affichées et d'appels relancés par l'utilisateur.</t>
        </is>
      </c>
      <c r="D14" s="30" t="inlineStr">
        <is>
          <t>src/lib/feeds/claude-json-generator.ts (extractJsonPayload)</t>
        </is>
      </c>
      <c r="E14" s="30" t="inlineStr">
        <is>
          <t>Faible</t>
        </is>
      </c>
      <c r="F14" s="30" t="inlineStr">
        <is>
          <t>Fiabilité + quelques % d'appels en moins</t>
        </is>
      </c>
    </row>
    <row r="15">
      <c r="A15" s="31" t="inlineStr">
        <is>
          <t>OPTIONNEL</t>
        </is>
      </c>
      <c r="B15" s="29" t="inlineStr">
        <is>
          <t>Normaliser davantage la clé du cache de corrections</t>
        </is>
      </c>
      <c r="C15" s="30" t="inlineStr">
        <is>
          <t>Deux réponses qui ne diffèrent que par un espace ou le 。 final devraient partager la même correction.</t>
        </is>
      </c>
      <c r="D15" s="30" t="inlineStr">
        <is>
          <t>src/lib/grammar/exercises.ts (answerKey)</t>
        </is>
      </c>
      <c r="E15" s="30" t="inlineStr">
        <is>
          <t>Très faible</t>
        </is>
      </c>
      <c r="F15" s="30" t="inlineStr">
        <is>
          <t>Plus de cache hits sur les corrections</t>
        </is>
      </c>
    </row>
    <row r="16">
      <c r="A16" s="31" t="inlineStr">
        <is>
          <t>OPTIONNEL</t>
        </is>
      </c>
      <c r="B16" s="29" t="inlineStr">
        <is>
          <t>Offre annuelle (~39 €/an)</t>
        </is>
      </c>
      <c r="C16" s="30" t="inlineStr">
        <is>
          <t>Un seul frais fixe Stripe au lieu de 12, et moins de désabonnements.</t>
        </is>
      </c>
      <c r="D16" s="30" t="inlineStr">
        <is>
          <t>Stripe (prix annuel)</t>
        </is>
      </c>
      <c r="E16" s="30" t="inlineStr">
        <is>
          <t>Très faible</t>
        </is>
      </c>
      <c r="F16" s="30" t="inlineStr">
        <is>
          <t>+~2,50 €/an/abonné de frais Stripe économisés, churn plus bas</t>
        </is>
      </c>
    </row>
    <row r="17">
      <c r="A17" s="31" t="inlineStr">
        <is>
          <t>OPTIONNEL</t>
        </is>
      </c>
      <c r="B17" s="29" t="inlineStr">
        <is>
          <t>Tableau de bord des coûts (admin)</t>
        </is>
      </c>
      <c r="C17" s="30" t="inlineStr">
        <is>
          <t>Suivre coût Claude / CA / marge en temps réel à partir de la table ClaudeUsage.</t>
        </is>
      </c>
      <c r="D17" s="30" t="inlineStr">
        <is>
          <t>Nouvelle page /admin</t>
        </is>
      </c>
      <c r="E17" s="30" t="inlineStr">
        <is>
          <t>Moyen</t>
        </is>
      </c>
      <c r="F17" s="30" t="inlineStr">
        <is>
          <t>Pilotage</t>
        </is>
      </c>
    </row>
    <row r="18">
      <c r="A18" s="32" t="inlineStr">
        <is>
          <t>À ÉVITER</t>
        </is>
      </c>
      <c r="B18" s="29" t="inlineStr">
        <is>
          <t>Prompt caching Anthropic</t>
        </is>
      </c>
      <c r="C18" s="30" t="inlineStr">
        <is>
          <t>Tes prompts sont trop courts (quelques centaines de tokens) pour atteindre le minimum cacheable : aucun gain.</t>
        </is>
      </c>
      <c r="D18" s="30" t="inlineStr">
        <is>
          <t>—</t>
        </is>
      </c>
      <c r="E18" s="30" t="inlineStr">
        <is>
          <t>—</t>
        </is>
      </c>
      <c r="F18" s="30" t="inlineStr">
        <is>
          <t>Aucun</t>
        </is>
      </c>
    </row>
    <row r="19">
      <c r="A19" s="32" t="inlineStr">
        <is>
          <t>À ÉVITER</t>
        </is>
      </c>
      <c r="B19" s="29" t="inlineStr">
        <is>
          <t>Passer sur un modèle plus gros par défaut</t>
        </is>
      </c>
      <c r="C19" s="30" t="inlineStr">
        <is>
          <t>Haiku 4.5 est le bon choix pour ces tâches simples ; un modèle plus puissant multiplierait le coût (x2 à x10). Éventuellement pour les corrections d'une offre « premium ».</t>
        </is>
      </c>
      <c r="D19" s="30" t="inlineStr">
        <is>
          <t>—</t>
        </is>
      </c>
      <c r="E19" s="30" t="inlineStr">
        <is>
          <t>—</t>
        </is>
      </c>
      <c r="F19" s="3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2026-09-28T07:47:55Z</dcterms:created>
  <dcterms:modified xsi:type="dcterms:W3CDTF">2026-09-28T07:47:55Z</dcterms:modified>
</cp:coreProperties>
</file>